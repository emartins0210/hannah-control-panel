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as" sheetId="1" state="visible" r:id="rId1"/>
    <sheet name="Schedule" sheetId="2" state="visible" r:id="rId2"/>
    <sheet name="Algoritmo" sheetId="3" state="visible" r:id="rId3"/>
    <sheet name="Valid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FF0000"/>
    </font>
    <font>
      <b val="1"/>
      <color rgb="001F4E78"/>
      <sz val="12"/>
    </font>
    <font>
      <b val="1"/>
      <sz val="11"/>
    </font>
    <font>
      <b val="1"/>
      <color rgb="000000FF"/>
    </font>
    <font>
      <b val="1"/>
    </font>
    <font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Endereço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Tipo</t>
        </is>
      </c>
      <c r="F1" s="1" t="inlineStr">
        <is>
          <t>Dist PB (km)</t>
        </is>
      </c>
    </row>
    <row r="2">
      <c r="A2" t="n">
        <v>1</v>
      </c>
      <c r="B2" t="inlineStr">
        <is>
          <t>Rua A, 100 - Palm Bay</t>
        </is>
      </c>
      <c r="C2" t="n">
        <v>28.0436</v>
      </c>
      <c r="D2" t="n">
        <v>-80.3853</v>
      </c>
      <c r="E2" t="inlineStr">
        <is>
          <t>Regular</t>
        </is>
      </c>
      <c r="F2">
        <f>ROUND(SQRT((C2-28.0436)^2+(D2-(-80.3853))^2)*111,2)</f>
        <v/>
      </c>
    </row>
    <row r="3">
      <c r="A3" t="n">
        <v>2</v>
      </c>
      <c r="B3" t="inlineStr">
        <is>
          <t>Rua B, 200 - Palm Bay</t>
        </is>
      </c>
      <c r="C3" t="n">
        <v>28.045</v>
      </c>
      <c r="D3" t="n">
        <v>-80.38500000000001</v>
      </c>
      <c r="E3" t="inlineStr">
        <is>
          <t>Regular</t>
        </is>
      </c>
      <c r="F3">
        <f>ROUND(SQRT((C3-28.0436)^2+(D3-(-80.3853))^2)*111,2)</f>
        <v/>
      </c>
    </row>
    <row r="4">
      <c r="A4" t="n">
        <v>3</v>
      </c>
      <c r="B4" t="inlineStr">
        <is>
          <t>Rua C, 300 - Melbourne</t>
        </is>
      </c>
      <c r="C4" t="n">
        <v>28.06</v>
      </c>
      <c r="D4" t="n">
        <v>-80.39</v>
      </c>
      <c r="E4" t="inlineStr">
        <is>
          <t>Deep</t>
        </is>
      </c>
      <c r="F4">
        <f>ROUND(SQRT((C4-28.0436)^2+(D4-(-80.3853))^2)*111,2)</f>
        <v/>
      </c>
    </row>
    <row r="5">
      <c r="A5" t="n">
        <v>4</v>
      </c>
      <c r="B5" t="inlineStr">
        <is>
          <t>Rua D, 400 - Palm Bay</t>
        </is>
      </c>
      <c r="C5" t="n">
        <v>28.044</v>
      </c>
      <c r="D5" t="n">
        <v>-80.386</v>
      </c>
      <c r="E5" t="inlineStr">
        <is>
          <t>Regular</t>
        </is>
      </c>
      <c r="F5">
        <f>ROUND(SQRT((C5-28.0436)^2+(D5-(-80.3853))^2)*111,2)</f>
        <v/>
      </c>
    </row>
    <row r="6">
      <c r="A6" t="n">
        <v>5</v>
      </c>
      <c r="B6" t="inlineStr">
        <is>
          <t>Rua E, 500 - Brevard</t>
        </is>
      </c>
      <c r="C6" t="n">
        <v>28.07</v>
      </c>
      <c r="D6" t="n">
        <v>-80.40000000000001</v>
      </c>
      <c r="E6" t="inlineStr">
        <is>
          <t>Regular</t>
        </is>
      </c>
      <c r="F6">
        <f>ROUND(SQRT((C6-28.0436)^2+(D6-(-80.3853))^2)*111,2)</f>
        <v/>
      </c>
    </row>
    <row r="7">
      <c r="A7" t="n">
        <v>6</v>
      </c>
      <c r="B7" t="inlineStr">
        <is>
          <t>Rua F, 600 - Palm Bay</t>
        </is>
      </c>
      <c r="C7" t="n">
        <v>28.0445</v>
      </c>
      <c r="D7" t="n">
        <v>-80.38549999999999</v>
      </c>
      <c r="E7" t="inlineStr">
        <is>
          <t>Deep</t>
        </is>
      </c>
      <c r="F7">
        <f>ROUND(SQRT((C7-28.0436)^2+(D7-(-80.3853))^2)*111,2)</f>
        <v/>
      </c>
    </row>
    <row r="8">
      <c r="A8" t="n">
        <v>7</v>
      </c>
      <c r="B8" t="inlineStr">
        <is>
          <t>Rua G, 700 - Melbourne</t>
        </is>
      </c>
      <c r="C8" t="n">
        <v>28.065</v>
      </c>
      <c r="D8" t="n">
        <v>-80.395</v>
      </c>
      <c r="E8" t="inlineStr">
        <is>
          <t>Regular</t>
        </is>
      </c>
      <c r="F8">
        <f>ROUND(SQRT((C8-28.0436)^2+(D8-(-80.3853))^2)*111,2)</f>
        <v/>
      </c>
    </row>
    <row r="9">
      <c r="A9" t="n">
        <v>8</v>
      </c>
      <c r="B9" t="inlineStr">
        <is>
          <t>Rua H, 800 - Palm Bay</t>
        </is>
      </c>
      <c r="C9" t="n">
        <v>28.0435</v>
      </c>
      <c r="D9" t="n">
        <v>-80.386</v>
      </c>
      <c r="E9" t="inlineStr">
        <is>
          <t>Regular</t>
        </is>
      </c>
      <c r="F9">
        <f>ROUND(SQRT((C9-28.0436)^2+(D9-(-80.3853))^2)*111,2)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12" customWidth="1" min="5" max="5"/>
    <col width="12" customWidth="1" min="6" max="6"/>
  </cols>
  <sheetData>
    <row r="1">
      <c r="A1" s="2" t="inlineStr">
        <is>
          <t>Carro</t>
        </is>
      </c>
      <c r="B1" s="2" t="inlineStr">
        <is>
          <t>Ordem</t>
        </is>
      </c>
      <c r="C1" s="2" t="inlineStr">
        <is>
          <t>Horário</t>
        </is>
      </c>
      <c r="D1" s="2" t="inlineStr">
        <is>
          <t>Endereço</t>
        </is>
      </c>
      <c r="E1" s="2" t="inlineStr">
        <is>
          <t>Tipo</t>
        </is>
      </c>
      <c r="F1" s="2" t="inlineStr">
        <is>
          <t>Tempo (min)</t>
        </is>
      </c>
    </row>
    <row r="3">
      <c r="A3" s="3" t="inlineStr">
        <is>
          <t>INSTRUÇÕES: Preencha manualmente ou use o algoritmo automático (próxima aba)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ALOCAÇÃO AUTOMÁTICA DE CASAS</t>
        </is>
      </c>
    </row>
    <row r="3">
      <c r="A3" s="5" t="inlineStr">
        <is>
          <t>CONFIGURAÇÕES</t>
        </is>
      </c>
    </row>
    <row r="4">
      <c r="A4" t="inlineStr">
        <is>
          <t>Número de Carros:</t>
        </is>
      </c>
      <c r="B4" s="6" t="n">
        <v>3</v>
      </c>
    </row>
    <row r="5">
      <c r="A5" t="inlineStr">
        <is>
          <t>Tempo limpeza regular (min):</t>
        </is>
      </c>
      <c r="B5" s="6" t="n">
        <v>160</v>
      </c>
    </row>
    <row r="6">
      <c r="A6" t="inlineStr">
        <is>
          <t>Tempo deep cleaning (min):</t>
        </is>
      </c>
      <c r="B6" s="6" t="n">
        <v>270</v>
      </c>
    </row>
    <row r="7">
      <c r="A7" t="inlineStr">
        <is>
          <t>Intervalo mínimo entre atendimentos (min):</t>
        </is>
      </c>
      <c r="B7" s="6" t="n">
        <v>160</v>
      </c>
    </row>
    <row r="8">
      <c r="A8" t="inlineStr">
        <is>
          <t>Máx deep cleaning por carro/dia:</t>
        </is>
      </c>
      <c r="B8" s="6" t="n">
        <v>2</v>
      </c>
    </row>
    <row r="9">
      <c r="A9" t="inlineStr">
        <is>
          <t>Máx limpeza regular por carro/dia:</t>
        </is>
      </c>
      <c r="B9" s="6" t="n">
        <v>4</v>
      </c>
    </row>
    <row r="11">
      <c r="A11" s="5" t="inlineStr">
        <is>
          <t>RESUMO POR CARRO</t>
        </is>
      </c>
    </row>
    <row r="12">
      <c r="A12" s="7" t="inlineStr">
        <is>
          <t>Carro</t>
        </is>
      </c>
      <c r="B12" s="7" t="inlineStr">
        <is>
          <t>Regular</t>
        </is>
      </c>
      <c r="C12" s="7" t="inlineStr">
        <is>
          <t>Deep</t>
        </is>
      </c>
      <c r="D12" s="7" t="inlineStr">
        <is>
          <t>Total (min)</t>
        </is>
      </c>
      <c r="E12" s="7" t="inlineStr">
        <is>
          <t>Utilização</t>
        </is>
      </c>
    </row>
    <row r="13">
      <c r="A13" t="inlineStr">
        <is>
          <t>Carro 1</t>
        </is>
      </c>
    </row>
    <row r="14">
      <c r="A14" t="inlineStr">
        <is>
          <t>Carro 2</t>
        </is>
      </c>
    </row>
    <row r="15">
      <c r="A15" t="inlineStr">
        <is>
          <t>Carro 3</t>
        </is>
      </c>
    </row>
    <row r="16">
      <c r="A16" s="5" t="inlineStr">
        <is>
          <t>PRÓXIMOS HORÁRIOS</t>
        </is>
      </c>
    </row>
    <row r="17">
      <c r="A17" t="inlineStr">
        <is>
          <t>08:00</t>
        </is>
      </c>
      <c r="B17" t="inlineStr">
        <is>
          <t>10:40</t>
        </is>
      </c>
      <c r="C17" t="inlineStr">
        <is>
          <t>13:20</t>
        </is>
      </c>
      <c r="D17" t="inlineStr">
        <is>
          <t>16:00</t>
        </is>
      </c>
    </row>
    <row r="18">
      <c r="A18" t="inlineStr">
        <is>
          <t>09:00</t>
        </is>
      </c>
      <c r="B18" t="inlineStr">
        <is>
          <t>11:40</t>
        </is>
      </c>
      <c r="C18" t="inlineStr">
        <is>
          <t>14:20</t>
        </is>
      </c>
      <c r="D18" t="inlineStr">
        <is>
          <t>17:00</t>
        </is>
      </c>
    </row>
    <row r="19">
      <c r="A19" t="inlineStr">
        <is>
          <t>09:30</t>
        </is>
      </c>
      <c r="B19" t="inlineStr">
        <is>
          <t>12:10</t>
        </is>
      </c>
      <c r="C19" t="inlineStr">
        <is>
          <t>14:50</t>
        </is>
      </c>
      <c r="D19" t="inlineStr">
        <is>
          <t>17:30</t>
        </is>
      </c>
    </row>
    <row r="21">
      <c r="A21" s="8" t="inlineStr">
        <is>
          <t>VALIDAÇÃO DE CONSTRAINTS</t>
        </is>
      </c>
    </row>
    <row r="22">
      <c r="A22" t="inlineStr">
        <is>
          <t>✓ Máximo 3 horários diferentes por dia</t>
        </is>
      </c>
    </row>
    <row r="23">
      <c r="A23" t="inlineStr">
        <is>
          <t>✓ Intervalo de 2h40min entre atendimentos</t>
        </is>
      </c>
    </row>
    <row r="24">
      <c r="A24" t="inlineStr">
        <is>
          <t>✓ Máximo 2 deep cleaning por carro</t>
        </is>
      </c>
    </row>
    <row r="25">
      <c r="A25" t="inlineStr">
        <is>
          <t>✓ Máximo 4 limpezas regulares por carro</t>
        </is>
      </c>
    </row>
    <row r="26">
      <c r="A26" t="inlineStr">
        <is>
          <t>✓ Priorizar casas próximas de Palm Bay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VERIFICAÇÃO DE CONSTRAINTS</t>
        </is>
      </c>
    </row>
    <row r="3">
      <c r="A3" t="inlineStr">
        <is>
          <t>Horários repetidos no dia</t>
        </is>
      </c>
      <c r="B3" s="9" t="inlineStr">
        <is>
          <t>Verificar</t>
        </is>
      </c>
    </row>
    <row r="4">
      <c r="A4" t="inlineStr">
        <is>
          <t>Intervalo mínimo entre atendimentos</t>
        </is>
      </c>
      <c r="B4" s="9" t="inlineStr">
        <is>
          <t>Verificar</t>
        </is>
      </c>
    </row>
    <row r="5">
      <c r="A5" t="inlineStr">
        <is>
          <t>Deep cleaning por carro/dia</t>
        </is>
      </c>
      <c r="B5" s="9" t="inlineStr">
        <is>
          <t>Verificar</t>
        </is>
      </c>
    </row>
    <row r="6">
      <c r="A6" t="inlineStr">
        <is>
          <t>Limpeza regular por carro/dia</t>
        </is>
      </c>
      <c r="B6" s="9" t="inlineStr">
        <is>
          <t>Verificar</t>
        </is>
      </c>
    </row>
    <row r="7">
      <c r="A7" t="inlineStr">
        <is>
          <t>Tempo total por carro/dia</t>
        </is>
      </c>
      <c r="B7" s="9" t="inlineStr">
        <is>
          <t>Verificar</t>
        </is>
      </c>
    </row>
    <row r="8">
      <c r="A8" t="inlineStr">
        <is>
          <t>Proximidade a Palm Bay</t>
        </is>
      </c>
      <c r="B8" s="9" t="inlineStr">
        <is>
          <t>Verificar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2026-03-24T22:12:12Z</dcterms:created>
  <dcterms:modified xsi:type="dcterms:W3CDTF">2026-03-24T22:12:12Z</dcterms:modified>
</cp:coreProperties>
</file>